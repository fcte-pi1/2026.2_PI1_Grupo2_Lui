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13_ncr:1_{5916CA01-E80E-4FC7-A784-04465F846A74}" xr6:coauthVersionLast="47" xr6:coauthVersionMax="47" xr10:uidLastSave="{00000000-0000-0000-0000-000000000000}"/>
  <bookViews>
    <workbookView xWindow="-28920" yWindow="750" windowWidth="29040" windowHeight="15720" xr2:uid="{AD8FF124-4E42-4C07-84D3-8D849B7BED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2" i="1"/>
  <c r="B19" i="1"/>
  <c r="C19" i="1" l="1"/>
</calcChain>
</file>

<file path=xl/sharedStrings.xml><?xml version="1.0" encoding="utf-8"?>
<sst xmlns="http://schemas.openxmlformats.org/spreadsheetml/2006/main" count="21" uniqueCount="21">
  <si>
    <t>Componente</t>
  </si>
  <si>
    <t>ESP32-WROOM-32</t>
  </si>
  <si>
    <t>DRV8833</t>
  </si>
  <si>
    <t>2× Motor N20-6V</t>
  </si>
  <si>
    <t>MPU6500</t>
  </si>
  <si>
    <t>INA226</t>
  </si>
  <si>
    <t>MP1584</t>
  </si>
  <si>
    <t>3× RC-SR04</t>
  </si>
  <si>
    <t>Taxa de aprovação (%)</t>
  </si>
  <si>
    <t>Sensores de Distancia (HC-SR04)</t>
  </si>
  <si>
    <t>Processamento (ESP32)</t>
  </si>
  <si>
    <t>Orientação (MPU6500)</t>
  </si>
  <si>
    <t>Atuação (DRV8833)</t>
  </si>
  <si>
    <t>Energia (INA226)</t>
  </si>
  <si>
    <t>Comunicação (Wi-Fi/Bluetooth)</t>
  </si>
  <si>
    <t>Status de Conformadede por Subsistemas (%)</t>
  </si>
  <si>
    <t>Distribuiçao do Consumo de Potência Total (W)</t>
  </si>
  <si>
    <t>P médio (W)</t>
  </si>
  <si>
    <t>E média (4,5 h - Wh)</t>
  </si>
  <si>
    <t>Porcentagem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</si>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</sst>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9" fontId="0" fillId="0" borderId="0" xfId="1" applyFont="1"/>
    <xf numFmtId="0" fontId="0" fillId="0" borderId="0" xfId="1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165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Status de Conformadede por Subsistemas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Planilha1!$E$1:$K$2</c15:sqref>
                  </c15:fullRef>
                  <c15:levelRef>
                    <c15:sqref>Planilha1!$E$2:$K$2</c15:sqref>
                  </c15:levelRef>
                </c:ext>
              </c:extLst>
              <c:f>Planilha1!$F$2:$K$2</c:f>
              <c:strCache>
                <c:ptCount val="6"/>
                <c:pt idx="0">
                  <c:v>Processamento (ESP32)</c:v>
                </c:pt>
                <c:pt idx="1">
                  <c:v>Sensores de Distancia (HC-SR04)</c:v>
                </c:pt>
                <c:pt idx="2">
                  <c:v>Orientação (MPU6500)</c:v>
                </c:pt>
                <c:pt idx="3">
                  <c:v>Atuação (DRV8833)</c:v>
                </c:pt>
                <c:pt idx="4">
                  <c:v>Energia (INA226)</c:v>
                </c:pt>
                <c:pt idx="5">
                  <c:v>Comunicação (Wi-Fi/Bluetooth)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Planilha1!$E$3:$K$3</c15:sqref>
                  </c15:fullRef>
                </c:ext>
              </c:extLst>
              <c:f>Planilha1!$F$3:$K$3</c:f>
              <c:numCache>
                <c:formatCode>0%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3-4166-A4A2-86DAF6FEFFA5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Planilha1!$E$1:$K$2</c15:sqref>
                  </c15:fullRef>
                  <c15:levelRef>
                    <c15:sqref>Planilha1!$E$2:$K$2</c15:sqref>
                  </c15:levelRef>
                </c:ext>
              </c:extLst>
              <c:f>Planilha1!$F$2:$K$2</c:f>
              <c:strCache>
                <c:ptCount val="6"/>
                <c:pt idx="0">
                  <c:v>Processamento (ESP32)</c:v>
                </c:pt>
                <c:pt idx="1">
                  <c:v>Sensores de Distancia (HC-SR04)</c:v>
                </c:pt>
                <c:pt idx="2">
                  <c:v>Orientação (MPU6500)</c:v>
                </c:pt>
                <c:pt idx="3">
                  <c:v>Atuação (DRV8833)</c:v>
                </c:pt>
                <c:pt idx="4">
                  <c:v>Energia (INA226)</c:v>
                </c:pt>
                <c:pt idx="5">
                  <c:v>Comunicação (Wi-Fi/Bluetooth)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Planilha1!$E$4:$K$4</c15:sqref>
                  </c15:fullRef>
                </c:ext>
              </c:extLst>
              <c:f>Planilha1!$F$4:$K$4</c:f>
              <c:numCache>
                <c:formatCode>0%</c:formatCode>
                <c:ptCount val="6"/>
                <c:pt idx="0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3-4166-A4A2-86DAF6FEFFA5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Planilha1!$E$1:$K$2</c15:sqref>
                  </c15:fullRef>
                  <c15:levelRef>
                    <c15:sqref>Planilha1!$E$2:$K$2</c15:sqref>
                  </c15:levelRef>
                </c:ext>
              </c:extLst>
              <c:f>Planilha1!$F$2:$K$2</c:f>
              <c:strCache>
                <c:ptCount val="6"/>
                <c:pt idx="0">
                  <c:v>Processamento (ESP32)</c:v>
                </c:pt>
                <c:pt idx="1">
                  <c:v>Sensores de Distancia (HC-SR04)</c:v>
                </c:pt>
                <c:pt idx="2">
                  <c:v>Orientação (MPU6500)</c:v>
                </c:pt>
                <c:pt idx="3">
                  <c:v>Atuação (DRV8833)</c:v>
                </c:pt>
                <c:pt idx="4">
                  <c:v>Energia (INA226)</c:v>
                </c:pt>
                <c:pt idx="5">
                  <c:v>Comunicação (Wi-Fi/Bluetooth)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Planilha1!$E$5:$K$5</c15:sqref>
                  </c15:fullRef>
                </c:ext>
              </c:extLst>
              <c:f>Planilha1!$F$5:$K$5</c:f>
              <c:numCache>
                <c:formatCode>0%</c:formatCode>
                <c:ptCount val="6"/>
                <c:pt idx="2">
                  <c:v>0.6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23-4166-A4A2-86DAF6FEFFA5}"/>
            </c:ext>
          </c:extLst>
        </c:ser>
        <c:ser>
          <c:idx val="3"/>
          <c:order val="3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Planilha1!$E$1:$K$2</c15:sqref>
                  </c15:fullRef>
                  <c15:levelRef>
                    <c15:sqref>Planilha1!$E$2:$K$2</c15:sqref>
                  </c15:levelRef>
                </c:ext>
              </c:extLst>
              <c:f>Planilha1!$F$2:$K$2</c:f>
              <c:strCache>
                <c:ptCount val="6"/>
                <c:pt idx="0">
                  <c:v>Processamento (ESP32)</c:v>
                </c:pt>
                <c:pt idx="1">
                  <c:v>Sensores de Distancia (HC-SR04)</c:v>
                </c:pt>
                <c:pt idx="2">
                  <c:v>Orientação (MPU6500)</c:v>
                </c:pt>
                <c:pt idx="3">
                  <c:v>Atuação (DRV8833)</c:v>
                </c:pt>
                <c:pt idx="4">
                  <c:v>Energia (INA226)</c:v>
                </c:pt>
                <c:pt idx="5">
                  <c:v>Comunicação (Wi-Fi/Bluetooth)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Planilha1!$E$6:$K$6</c15:sqref>
                  </c15:fullRef>
                </c:ext>
              </c:extLst>
              <c:f>Planilha1!$F$6:$K$6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AC23-4166-A4A2-86DAF6FEFFA5}"/>
            </c:ext>
          </c:extLst>
        </c:ser>
        <c:ser>
          <c:idx val="4"/>
          <c:order val="4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Planilha1!$E$1:$K$2</c15:sqref>
                  </c15:fullRef>
                  <c15:levelRef>
                    <c15:sqref>Planilha1!$E$2:$K$2</c15:sqref>
                  </c15:levelRef>
                </c:ext>
              </c:extLst>
              <c:f>Planilha1!$F$2:$K$2</c:f>
              <c:strCache>
                <c:ptCount val="6"/>
                <c:pt idx="0">
                  <c:v>Processamento (ESP32)</c:v>
                </c:pt>
                <c:pt idx="1">
                  <c:v>Sensores de Distancia (HC-SR04)</c:v>
                </c:pt>
                <c:pt idx="2">
                  <c:v>Orientação (MPU6500)</c:v>
                </c:pt>
                <c:pt idx="3">
                  <c:v>Atuação (DRV8833)</c:v>
                </c:pt>
                <c:pt idx="4">
                  <c:v>Energia (INA226)</c:v>
                </c:pt>
                <c:pt idx="5">
                  <c:v>Comunicação (Wi-Fi/Bluetooth)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Planilha1!$E$7:$K$7</c15:sqref>
                  </c15:fullRef>
                </c:ext>
              </c:extLst>
              <c:f>Planilha1!$F$7:$K$7</c:f>
              <c:numCache>
                <c:formatCode>0%</c:formatCode>
                <c:ptCount val="6"/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23-4166-A4A2-86DAF6FEFFA5}"/>
            </c:ext>
          </c:extLst>
        </c:ser>
        <c:ser>
          <c:idx val="5"/>
          <c:order val="5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Planilha1!$E$1:$K$2</c15:sqref>
                  </c15:fullRef>
                  <c15:levelRef>
                    <c15:sqref>Planilha1!$E$2:$K$2</c15:sqref>
                  </c15:levelRef>
                </c:ext>
              </c:extLst>
              <c:f>Planilha1!$F$2:$K$2</c:f>
              <c:strCache>
                <c:ptCount val="6"/>
                <c:pt idx="0">
                  <c:v>Processamento (ESP32)</c:v>
                </c:pt>
                <c:pt idx="1">
                  <c:v>Sensores de Distancia (HC-SR04)</c:v>
                </c:pt>
                <c:pt idx="2">
                  <c:v>Orientação (MPU6500)</c:v>
                </c:pt>
                <c:pt idx="3">
                  <c:v>Atuação (DRV8833)</c:v>
                </c:pt>
                <c:pt idx="4">
                  <c:v>Energia (INA226)</c:v>
                </c:pt>
                <c:pt idx="5">
                  <c:v>Comunicação (Wi-Fi/Bluetooth)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Planilha1!$E$8:$K$8</c15:sqref>
                  </c15:fullRef>
                </c:ext>
              </c:extLst>
              <c:f>Planilha1!$F$8:$K$8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AC23-4166-A4A2-86DAF6FEFF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056544"/>
        <c:axId val="111057624"/>
      </c:barChart>
      <c:catAx>
        <c:axId val="11105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57624"/>
        <c:crosses val="autoZero"/>
        <c:auto val="1"/>
        <c:lblAlgn val="ctr"/>
        <c:lblOffset val="100"/>
        <c:noMultiLvlLbl val="0"/>
      </c:catAx>
      <c:valAx>
        <c:axId val="11105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Taxa de aprovação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5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Distribuiçao do Consumo de Potência Total (W)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Planilha1!$B$1</c:f>
              <c:strCache>
                <c:ptCount val="1"/>
                <c:pt idx="0">
                  <c:v>Distribuiçao do Consumo de Potência Total (W)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Planilha1!$B$3:$B$9</c:f>
              <c:strCache>
                <c:ptCount val="7"/>
                <c:pt idx="0">
                  <c:v>ESP32-WROOM-32</c:v>
                </c:pt>
                <c:pt idx="1">
                  <c:v>DRV8833</c:v>
                </c:pt>
                <c:pt idx="2">
                  <c:v>2× Motor N20-6V</c:v>
                </c:pt>
                <c:pt idx="3">
                  <c:v>3× RC-SR04</c:v>
                </c:pt>
                <c:pt idx="4">
                  <c:v>MPU6500</c:v>
                </c:pt>
                <c:pt idx="5">
                  <c:v>INA226</c:v>
                </c:pt>
                <c:pt idx="6">
                  <c:v>MP1584</c:v>
                </c:pt>
              </c:strCache>
            </c:strRef>
          </c:cat>
          <c:val>
            <c:numRef>
              <c:f>Planilha1!$C$12:$C$18</c:f>
              <c:numCache>
                <c:formatCode>#,#00%</c:formatCode>
                <c:ptCount val="7"/>
                <c:pt idx="0">
                  <c:v>0.17541266321754123</c:v>
                </c:pt>
                <c:pt idx="1">
                  <c:v>2.4636610002464199E-3</c:v>
                </c:pt>
                <c:pt idx="2">
                  <c:v>0.79822616407982272</c:v>
                </c:pt>
                <c:pt idx="3">
                  <c:v>9.8546440009854575E-3</c:v>
                </c:pt>
                <c:pt idx="4">
                  <c:v>2.4636610002464199E-3</c:v>
                </c:pt>
                <c:pt idx="5" formatCode="0.00%">
                  <c:v>2.4636610002459758E-4</c:v>
                </c:pt>
                <c:pt idx="6">
                  <c:v>1.1332840601133265E-2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D-429B-BD72-E6CF71B554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938211</xdr:colOff>
      <xdr:row>10</xdr:row>
      <xdr:rowOff>61912</xdr:rowOff>
    </xdr:from>
    <xdr:to>
      <xdr:col>9</xdr:col>
      <xdr:colOff>466724</xdr:colOff>
      <xdr:row>32</xdr:row>
      <xdr:rowOff>182880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0B2E70-B666-A15D-2CF3-72CAAEF27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14286</xdr:colOff>
      <xdr:row>19</xdr:row>
      <xdr:rowOff>176212</xdr:rowOff>
    </xdr:from>
    <xdr:to>
      <xdr:col>5</xdr:col>
      <xdr:colOff>1123949</xdr:colOff>
      <xdr:row>42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F08BB10-F9A4-6D57-9602-5FA2E356E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B3C8-0F27-4BA5-8FA9-62A2479D4DE9}">
  <dimension ref="A1:K19"/>
  <sheetViews>
    <sheetView tabSelected="1" zoomScaleNormal="100" workbookViewId="0">
      <selection activeCell="F17" sqref="F17"/>
    </sheetView>
  </sheetViews>
  <sheetFormatPr defaultRowHeight="15" x14ac:dyDescent="0.25"/>
  <cols>
    <col min="2" max="2" width="19.7109375" customWidth="1"/>
    <col min="3" max="3" width="30" customWidth="1"/>
    <col min="4" max="4" width="7.140625" bestFit="1" customWidth="1"/>
    <col min="5" max="5" width="18" bestFit="1" customWidth="1"/>
    <col min="6" max="6" width="30.28515625" bestFit="1" customWidth="1"/>
    <col min="7" max="16" width="38.28515625" bestFit="1" customWidth="1"/>
    <col min="17" max="17" width="35.28515625" bestFit="1" customWidth="1"/>
    <col min="18" max="18" width="43.28515625" bestFit="1" customWidth="1"/>
    <col min="19" max="19" width="11.85546875" bestFit="1" customWidth="1"/>
    <col min="20" max="20" width="10.7109375" bestFit="1" customWidth="1"/>
    <col min="21" max="24" width="11.85546875" bestFit="1" customWidth="1"/>
    <col min="25" max="25" width="10.7109375" bestFit="1" customWidth="1"/>
    <col min="26" max="29" width="11.85546875" bestFit="1" customWidth="1"/>
    <col min="30" max="30" width="10.7109375" bestFit="1" customWidth="1"/>
    <col min="31" max="31" width="31.28515625" bestFit="1" customWidth="1"/>
    <col min="32" max="32" width="29.140625" bestFit="1" customWidth="1"/>
    <col min="33" max="33" width="43.140625" bestFit="1" customWidth="1"/>
    <col min="34" max="34" width="24.140625" bestFit="1" customWidth="1"/>
    <col min="35" max="35" width="38.140625" bestFit="1" customWidth="1"/>
    <col min="36" max="36" width="43.28515625" bestFit="1" customWidth="1"/>
    <col min="37" max="37" width="34.7109375" bestFit="1" customWidth="1"/>
    <col min="38" max="38" width="31.28515625" bestFit="1" customWidth="1"/>
    <col min="39" max="39" width="29.140625" bestFit="1" customWidth="1"/>
    <col min="40" max="40" width="43.140625" bestFit="1" customWidth="1"/>
    <col min="41" max="41" width="35.28515625" bestFit="1" customWidth="1"/>
    <col min="42" max="42" width="43.28515625" bestFit="1" customWidth="1"/>
    <col min="43" max="43" width="34.7109375" bestFit="1" customWidth="1"/>
    <col min="44" max="44" width="31.28515625" bestFit="1" customWidth="1"/>
    <col min="45" max="45" width="29.140625" bestFit="1" customWidth="1"/>
    <col min="46" max="46" width="43.140625" bestFit="1" customWidth="1"/>
  </cols>
  <sheetData>
    <row r="1" spans="2:11" x14ac:dyDescent="0.25">
      <c r="B1" s="6" t="s">
        <v>16</v>
      </c>
      <c r="C1" s="6"/>
      <c r="E1" s="6" t="s">
        <v>15</v>
      </c>
      <c r="F1" s="6"/>
      <c r="G1" s="6"/>
      <c r="H1" s="6"/>
      <c r="I1" s="6"/>
      <c r="J1" s="6"/>
      <c r="K1" s="6"/>
    </row>
    <row r="2" spans="2:11" x14ac:dyDescent="0.25">
      <c r="B2" s="5" t="s">
        <v>0</v>
      </c>
      <c r="C2" s="5" t="s">
        <v>17</v>
      </c>
      <c r="D2" s="2"/>
      <c r="E2" s="5" t="s">
        <v>8</v>
      </c>
      <c r="F2" s="5" t="s">
        <v>10</v>
      </c>
      <c r="G2" s="5" t="s">
        <v>9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2:11" x14ac:dyDescent="0.25">
      <c r="B3" s="3" t="s">
        <v>1</v>
      </c>
      <c r="C3" s="3">
        <v>0.79200000000000004</v>
      </c>
      <c r="D3" s="1"/>
      <c r="E3" s="4">
        <v>1</v>
      </c>
      <c r="F3" s="4"/>
      <c r="G3" s="4">
        <v>1</v>
      </c>
      <c r="H3" s="4"/>
      <c r="I3" s="4"/>
      <c r="J3" s="4"/>
      <c r="K3" s="4"/>
    </row>
    <row r="4" spans="2:11" x14ac:dyDescent="0.25">
      <c r="B4" s="3" t="s">
        <v>2</v>
      </c>
      <c r="C4" s="3">
        <v>0.01</v>
      </c>
      <c r="D4" s="1"/>
      <c r="E4" s="4">
        <v>0.8</v>
      </c>
      <c r="F4" s="4">
        <v>0.8</v>
      </c>
      <c r="G4" s="4"/>
      <c r="H4" s="4"/>
      <c r="I4" s="4"/>
      <c r="J4" s="4"/>
      <c r="K4" s="4"/>
    </row>
    <row r="5" spans="2:11" x14ac:dyDescent="0.25">
      <c r="B5" s="3" t="s">
        <v>3</v>
      </c>
      <c r="C5" s="3">
        <v>3.6</v>
      </c>
      <c r="D5" s="1"/>
      <c r="E5" s="4">
        <v>0.6</v>
      </c>
      <c r="F5" s="4"/>
      <c r="G5" s="4"/>
      <c r="H5" s="4">
        <v>0.6</v>
      </c>
      <c r="I5" s="4"/>
      <c r="J5" s="4"/>
      <c r="K5" s="4">
        <v>0.6</v>
      </c>
    </row>
    <row r="6" spans="2:11" x14ac:dyDescent="0.25">
      <c r="B6" s="3" t="s">
        <v>7</v>
      </c>
      <c r="C6" s="3">
        <v>4.4999999999999998E-2</v>
      </c>
      <c r="D6" s="1"/>
      <c r="E6" s="4">
        <v>0.4</v>
      </c>
      <c r="F6" s="4"/>
      <c r="G6" s="4"/>
      <c r="H6" s="4"/>
      <c r="I6" s="4"/>
      <c r="J6" s="4"/>
      <c r="K6" s="4"/>
    </row>
    <row r="7" spans="2:11" x14ac:dyDescent="0.25">
      <c r="B7" s="3" t="s">
        <v>4</v>
      </c>
      <c r="C7" s="3">
        <v>0.01</v>
      </c>
      <c r="D7" s="1"/>
      <c r="E7" s="4">
        <v>0.2</v>
      </c>
      <c r="F7" s="4"/>
      <c r="G7" s="4"/>
      <c r="H7" s="4"/>
      <c r="I7" s="4">
        <v>0.2</v>
      </c>
      <c r="J7" s="4">
        <v>0.2</v>
      </c>
      <c r="K7" s="4"/>
    </row>
    <row r="8" spans="2:11" x14ac:dyDescent="0.25">
      <c r="B8" s="3" t="s">
        <v>5</v>
      </c>
      <c r="C8" s="3">
        <v>1E-3</v>
      </c>
      <c r="D8" s="1"/>
      <c r="E8" s="4">
        <v>0</v>
      </c>
      <c r="F8" s="4"/>
      <c r="G8" s="4"/>
      <c r="H8" s="4"/>
      <c r="I8" s="4"/>
      <c r="J8" s="4"/>
      <c r="K8" s="4"/>
    </row>
    <row r="9" spans="2:11" x14ac:dyDescent="0.25">
      <c r="B9" s="3" t="s">
        <v>6</v>
      </c>
      <c r="C9" s="3">
        <v>0.05</v>
      </c>
      <c r="D9" s="1"/>
      <c r="E9" s="1"/>
      <c r="F9" s="1"/>
      <c r="G9" s="1"/>
      <c r="H9" s="1"/>
      <c r="I9" s="1"/>
      <c r="J9" s="1"/>
    </row>
    <row r="10" spans="2:11" x14ac:dyDescent="0.25">
      <c r="E10" s="8"/>
      <c r="F10" s="7"/>
    </row>
    <row r="11" spans="2:11" x14ac:dyDescent="0.25">
      <c r="B11" s="5" t="s">
        <v>18</v>
      </c>
      <c r="C11" s="5" t="s">
        <v>19</v>
      </c>
    </row>
    <row r="12" spans="2:11" x14ac:dyDescent="0.25">
      <c r="B12" s="3">
        <v>3.56</v>
      </c>
      <c r="C12" s="10">
        <f>ABS((($B$19-B12)/$B$19)-1)</f>
        <v>0.17541266321754123</v>
      </c>
    </row>
    <row r="13" spans="2:11" x14ac:dyDescent="0.25">
      <c r="B13" s="3">
        <v>0.05</v>
      </c>
      <c r="C13" s="10">
        <f>ABS((($B$19-B13)/$B$19)-1)</f>
        <v>2.4636610002464199E-3</v>
      </c>
    </row>
    <row r="14" spans="2:11" x14ac:dyDescent="0.25">
      <c r="B14" s="3">
        <v>16.2</v>
      </c>
      <c r="C14" s="10">
        <f>ABS((($B$19-B14)/$B$19)-1)</f>
        <v>0.79822616407982272</v>
      </c>
    </row>
    <row r="15" spans="2:11" x14ac:dyDescent="0.25">
      <c r="B15" s="3">
        <v>0.2</v>
      </c>
      <c r="C15" s="10">
        <f>ABS((($B$19-B15)/$B$19)-1)</f>
        <v>9.8546440009854575E-3</v>
      </c>
    </row>
    <row r="16" spans="2:11" x14ac:dyDescent="0.25">
      <c r="B16" s="3">
        <v>0.05</v>
      </c>
      <c r="C16" s="10">
        <f>ABS((($B$19-B16)/$B$19)-1)</f>
        <v>2.4636610002464199E-3</v>
      </c>
    </row>
    <row r="17" spans="1:3" x14ac:dyDescent="0.25">
      <c r="B17" s="3">
        <v>5.0000000000000001E-3</v>
      </c>
      <c r="C17" s="11">
        <f>ABS((($B$19-B17)/$B$19)-1)</f>
        <v>2.4636610002459758E-4</v>
      </c>
    </row>
    <row r="18" spans="1:3" x14ac:dyDescent="0.25">
      <c r="B18" s="3">
        <v>0.23</v>
      </c>
      <c r="C18" s="10">
        <f>ABS((($B$19-B18)/$B$19)-1)</f>
        <v>1.1332840601133265E-2</v>
      </c>
    </row>
    <row r="19" spans="1:3" x14ac:dyDescent="0.25">
      <c r="A19" s="9" t="s">
        <v>20</v>
      </c>
      <c r="B19" s="3">
        <f>SUM(B12:B18)</f>
        <v>20.294999999999998</v>
      </c>
      <c r="C19" s="12">
        <f>SUM(C12:C18)</f>
        <v>1</v>
      </c>
    </row>
  </sheetData>
  <mergeCells count="2">
    <mergeCell ref="E1:K1"/>
    <mergeCell ref="B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Rodrigues</dc:creator>
  <cp:lastModifiedBy>Daniel Rodrigues</cp:lastModifiedBy>
  <dcterms:created xsi:type="dcterms:W3CDTF">2026-10-25T13:43:00Z</dcterms:created>
  <dcterms:modified xsi:type="dcterms:W3CDTF">2026-10-25T16:20:47Z</dcterms:modified>
</cp:coreProperties>
</file>