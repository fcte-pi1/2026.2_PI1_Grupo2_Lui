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13_ncr:1_{4898341D-0EE2-4240-8E58-1E046641BA37}" xr6:coauthVersionLast="47" xr6:coauthVersionMax="47" xr10:uidLastSave="{00000000-0000-0000-0000-000000000000}"/>
  <bookViews>
    <workbookView xWindow="-120" yWindow="-120" windowWidth="29040" windowHeight="15720" xr2:uid="{F3BCBB71-0948-440E-AF14-09A185732B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4" i="1"/>
  <c r="Q5" i="1"/>
  <c r="R5" i="1"/>
  <c r="Q6" i="1"/>
  <c r="R6" i="1"/>
  <c r="Q7" i="1"/>
  <c r="R7" i="1"/>
  <c r="Q8" i="1"/>
  <c r="R8" i="1"/>
  <c r="Q9" i="1"/>
  <c r="R9" i="1"/>
  <c r="R4" i="1"/>
  <c r="P5" i="1"/>
  <c r="P6" i="1"/>
  <c r="P7" i="1"/>
  <c r="P8" i="1"/>
  <c r="P9" i="1"/>
  <c r="Q4" i="1"/>
  <c r="P4" i="1"/>
  <c r="M5" i="1"/>
  <c r="M6" i="1"/>
  <c r="M7" i="1"/>
  <c r="M8" i="1"/>
  <c r="M9" i="1"/>
  <c r="L5" i="1"/>
  <c r="L6" i="1"/>
  <c r="L7" i="1"/>
  <c r="L8" i="1"/>
  <c r="L9" i="1"/>
  <c r="M4" i="1"/>
  <c r="L4" i="1"/>
  <c r="K4" i="1"/>
  <c r="K9" i="1"/>
  <c r="K5" i="1"/>
  <c r="K6" i="1"/>
  <c r="K7" i="1"/>
  <c r="K8" i="1"/>
  <c r="H5" i="1"/>
  <c r="H6" i="1"/>
  <c r="H7" i="1"/>
  <c r="H8" i="1"/>
  <c r="H9" i="1"/>
  <c r="H4" i="1"/>
</calcChain>
</file>

<file path=xl/sharedStrings.xml><?xml version="1.0" encoding="utf-8"?>
<sst xmlns="http://schemas.openxmlformats.org/spreadsheetml/2006/main" count="22" uniqueCount="17">
  <si>
    <t>Distância Real (cm)</t>
  </si>
  <si>
    <t>Desvio Padrão (a)</t>
  </si>
  <si>
    <t>Status de Validação</t>
  </si>
  <si>
    <t>APROVADO</t>
  </si>
  <si>
    <t>Sensor 1 (cm)</t>
  </si>
  <si>
    <t>Sensor 2 (cm)</t>
  </si>
  <si>
    <t>Sensor 3 (cm)</t>
  </si>
  <si>
    <t>Média dos 3 (cm)</t>
  </si>
  <si>
    <t>Erro Médio (cm)</t>
  </si>
  <si>
    <t>erro s1</t>
  </si>
  <si>
    <t>erro s2</t>
  </si>
  <si>
    <t>erro s3</t>
  </si>
  <si>
    <t>Porcentagem dos erros</t>
  </si>
  <si>
    <t>s1</t>
  </si>
  <si>
    <t>s2</t>
  </si>
  <si>
    <t>s3</t>
  </si>
  <si>
    <t>media dos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</si>
</sst>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5"/>
      <color theme="0"/>
      <name val="Arial"/>
      <family val="2"/>
    </font>
    <font>
      <b/>
      <sz val="8.5"/>
      <color theme="0"/>
      <name val="Calibri"/>
      <family val="2"/>
      <scheme val="minor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8.5"/>
      <color theme="9"/>
      <name val="Arial"/>
      <family val="2"/>
    </font>
    <font>
      <b/>
      <sz val="8.5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10" fontId="0" fillId="0" borderId="0" xfId="1" applyNumberFormat="1" applyFont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Linearidade</a:t>
            </a:r>
            <a:r>
              <a:rPr lang="en-US" baseline="0"/>
              <a:t>: Distância Real vc Medida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5"/>
          <c:order val="0"/>
          <c:tx>
            <c:v>Ideal (Refêrencia)</c:v>
          </c:tx>
          <c:spPr>
            <a:ln w="25400">
              <a:solidFill>
                <a:schemeClr val="accent3"/>
              </a:solidFill>
              <a:prstDash val="dash"/>
            </a:ln>
          </c:spPr>
          <c:xVal>
            <c:numRef>
              <c:f>Planilha1!$B$4:$B$9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Planilha1!$B$4:$B$9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E4E-4217-BEC3-D468CC1939D5}"/>
            </c:ext>
          </c:extLst>
        </c:ser>
        <c:ser>
          <c:idx val="6"/>
          <c:order val="1"/>
          <c:tx>
            <c:strRef>
              <c:f>Planilha1!$C$2</c:f>
              <c:strCache>
                <c:ptCount val="1"/>
                <c:pt idx="0">
                  <c:v>Sensor 1 (cm)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xVal>
            <c:numRef>
              <c:f>Planilha1!$B$3:$B$9</c:f>
              <c:numCache>
                <c:formatCode>General</c:formatCode>
                <c:ptCount val="7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Planilha1!$C$3:$C$9</c:f>
              <c:numCache>
                <c:formatCode>General</c:formatCode>
                <c:ptCount val="7"/>
                <c:pt idx="1">
                  <c:v>10.07</c:v>
                </c:pt>
                <c:pt idx="2">
                  <c:v>18.71</c:v>
                </c:pt>
                <c:pt idx="3">
                  <c:v>29.32</c:v>
                </c:pt>
                <c:pt idx="4">
                  <c:v>38.25</c:v>
                </c:pt>
                <c:pt idx="5">
                  <c:v>48.2</c:v>
                </c:pt>
                <c:pt idx="6">
                  <c:v>57.87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4E4E-4217-BEC3-D468CC1939D5}"/>
            </c:ext>
          </c:extLst>
        </c:ser>
        <c:ser>
          <c:idx val="7"/>
          <c:order val="2"/>
          <c:tx>
            <c:strRef>
              <c:f>Planilha1!$D$2</c:f>
              <c:strCache>
                <c:ptCount val="1"/>
                <c:pt idx="0">
                  <c:v>Sensor 2 (cm)</c:v>
                </c:pt>
              </c:strCache>
            </c:strRef>
          </c:tx>
          <c:spPr>
            <a:ln w="19050">
              <a:solidFill>
                <a:schemeClr val="accent1"/>
              </a:solidFill>
              <a:prstDash val="solid"/>
            </a:ln>
          </c:spPr>
          <c:xVal>
            <c:numRef>
              <c:f>Planilha1!$B$3:$B$9</c:f>
              <c:numCache>
                <c:formatCode>General</c:formatCode>
                <c:ptCount val="7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Planilha1!$D$3:$D$9</c:f>
              <c:numCache>
                <c:formatCode>General</c:formatCode>
                <c:ptCount val="7"/>
                <c:pt idx="1">
                  <c:v>10.11</c:v>
                </c:pt>
                <c:pt idx="2">
                  <c:v>19.12</c:v>
                </c:pt>
                <c:pt idx="3">
                  <c:v>29.34</c:v>
                </c:pt>
                <c:pt idx="4">
                  <c:v>38.65</c:v>
                </c:pt>
                <c:pt idx="5">
                  <c:v>48.41</c:v>
                </c:pt>
                <c:pt idx="6">
                  <c:v>57.98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4E4E-4217-BEC3-D468CC1939D5}"/>
            </c:ext>
          </c:extLst>
        </c:ser>
        <c:ser>
          <c:idx val="8"/>
          <c:order val="3"/>
          <c:tx>
            <c:strRef>
              <c:f>Planilha1!$E$2</c:f>
              <c:strCache>
                <c:ptCount val="1"/>
                <c:pt idx="0">
                  <c:v>Sensor 3 (cm)</c:v>
                </c:pt>
              </c:strCache>
            </c:strRef>
          </c:tx>
          <c:spPr>
            <a:ln w="19050">
              <a:solidFill>
                <a:schemeClr val="accent4"/>
              </a:solidFill>
              <a:prstDash val="solid"/>
            </a:ln>
          </c:spPr>
          <c:xVal>
            <c:numRef>
              <c:f>Planilha1!$B$3:$B$9</c:f>
              <c:numCache>
                <c:formatCode>General</c:formatCode>
                <c:ptCount val="7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Planilha1!$E$3:$E$9</c:f>
              <c:numCache>
                <c:formatCode>General</c:formatCode>
                <c:ptCount val="7"/>
                <c:pt idx="1">
                  <c:v>9.0500000000000007</c:v>
                </c:pt>
                <c:pt idx="2">
                  <c:v>19.34</c:v>
                </c:pt>
                <c:pt idx="3">
                  <c:v>29.44</c:v>
                </c:pt>
                <c:pt idx="4">
                  <c:v>37.53</c:v>
                </c:pt>
                <c:pt idx="5">
                  <c:v>48.73</c:v>
                </c:pt>
                <c:pt idx="6">
                  <c:v>57.97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4E4E-4217-BEC3-D468CC1939D5}"/>
            </c:ext>
          </c:extLst>
        </c:ser>
        <c:ser>
          <c:idx val="9"/>
          <c:order val="4"/>
          <c:tx>
            <c:strRef>
              <c:f>Planilha1!$F$2</c:f>
              <c:strCache>
                <c:ptCount val="1"/>
                <c:pt idx="0">
                  <c:v>Média dos 3 (cm)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</c:spPr>
          <c:xVal>
            <c:numRef>
              <c:f>Planilha1!$B$3:$B$9</c:f>
              <c:numCache>
                <c:formatCode>General</c:formatCode>
                <c:ptCount val="7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Planilha1!$F$3:$F$9</c:f>
              <c:numCache>
                <c:formatCode>General</c:formatCode>
                <c:ptCount val="7"/>
                <c:pt idx="1">
                  <c:v>9.74</c:v>
                </c:pt>
                <c:pt idx="2">
                  <c:v>19.059999999999999</c:v>
                </c:pt>
                <c:pt idx="3">
                  <c:v>29.37</c:v>
                </c:pt>
                <c:pt idx="4">
                  <c:v>38.14</c:v>
                </c:pt>
                <c:pt idx="5">
                  <c:v>48.45</c:v>
                </c:pt>
                <c:pt idx="6">
                  <c:v>57.94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4E4E-4217-BEC3-D468CC193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099024"/>
        <c:axId val="628095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5"/>
                <c:tx>
                  <c:v>Ideal (Refêrencia)</c:v>
                </c:tx>
                <c:spPr>
                  <a:ln w="25400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prstDash val="dash"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Planilha1!$B$4:$B$9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Planilha1!$B$4:$B$9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4E4E-4217-BEC3-D468CC1939D5}"/>
                  </c:ext>
                </c:extLst>
              </c15:ser>
            </c15:filteredScatterSeries>
            <c15:filteredScatterSeries>
              <c15:ser>
                <c:idx val="0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Planilha1!$C$2</c15:sqref>
                        </c15:formulaRef>
                      </c:ext>
                    </c:extLst>
                    <c:strCache>
                      <c:ptCount val="1"/>
                      <c:pt idx="0">
                        <c:v>Sensor 1 (cm)</c:v>
                      </c:pt>
                    </c:strCache>
                  </c:strRef>
                </c:tx>
                <c:spPr>
                  <a:ln w="19050" cap="rnd">
                    <a:solidFill>
                      <a:schemeClr val="tx1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Planilha1!$B$3:$B$9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Planilha1!$C$3:$C$9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10.07</c:v>
                      </c:pt>
                      <c:pt idx="2">
                        <c:v>18.71</c:v>
                      </c:pt>
                      <c:pt idx="3">
                        <c:v>29.32</c:v>
                      </c:pt>
                      <c:pt idx="4">
                        <c:v>38.25</c:v>
                      </c:pt>
                      <c:pt idx="5">
                        <c:v>48.2</c:v>
                      </c:pt>
                      <c:pt idx="6">
                        <c:v>57.87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E4E-4217-BEC3-D468CC1939D5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Planilha1!$D$2</c15:sqref>
                        </c15:formulaRef>
                      </c:ext>
                    </c:extLst>
                    <c:strCache>
                      <c:ptCount val="1"/>
                      <c:pt idx="0">
                        <c:v>Sensor 2 (cm)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Planilha1!$B$3:$B$9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Planilha1!$D$3:$D$9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10.11</c:v>
                      </c:pt>
                      <c:pt idx="2">
                        <c:v>19.12</c:v>
                      </c:pt>
                      <c:pt idx="3">
                        <c:v>29.34</c:v>
                      </c:pt>
                      <c:pt idx="4">
                        <c:v>38.65</c:v>
                      </c:pt>
                      <c:pt idx="5">
                        <c:v>48.41</c:v>
                      </c:pt>
                      <c:pt idx="6">
                        <c:v>57.98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E4E-4217-BEC3-D468CC1939D5}"/>
                  </c:ext>
                </c:extLst>
              </c15:ser>
            </c15:filteredScatterSeries>
            <c15:filteredScatterSeries>
              <c15:ser>
                <c:idx val="2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Planilha1!$E$2</c15:sqref>
                        </c15:formulaRef>
                      </c:ext>
                    </c:extLst>
                    <c:strCache>
                      <c:ptCount val="1"/>
                      <c:pt idx="0">
                        <c:v>Sensor 3 (cm)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1"/>
                      </a:solidFill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Planilha1!$B$3:$B$9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Planilha1!$E$3:$E$9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9.0500000000000007</c:v>
                      </c:pt>
                      <c:pt idx="2">
                        <c:v>19.34</c:v>
                      </c:pt>
                      <c:pt idx="3">
                        <c:v>29.44</c:v>
                      </c:pt>
                      <c:pt idx="4">
                        <c:v>37.53</c:v>
                      </c:pt>
                      <c:pt idx="5">
                        <c:v>48.73</c:v>
                      </c:pt>
                      <c:pt idx="6">
                        <c:v>57.97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E4E-4217-BEC3-D468CC1939D5}"/>
                  </c:ext>
                </c:extLst>
              </c15:ser>
            </c15:filteredScatterSeries>
            <c15:filteredScatterSeries>
              <c15:ser>
                <c:idx val="3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Planilha1!$F$2</c15:sqref>
                        </c15:formulaRef>
                      </c:ext>
                    </c:extLst>
                    <c:strCache>
                      <c:ptCount val="1"/>
                      <c:pt idx="0">
                        <c:v>Média dos 3 (cm)</c:v>
                      </c:pt>
                    </c:strCache>
                  </c:strRef>
                </c:tx>
                <c:spPr>
                  <a:ln w="25400" cap="rnd">
                    <a:solidFill>
                      <a:schemeClr val="accent6"/>
                    </a:solidFill>
                    <a:prstDash val="solid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/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prstDash val="solid"/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Planilha1!$B$3:$B$9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Planilha1!$F$3:$F$9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1">
                        <c:v>9.74</c:v>
                      </c:pt>
                      <c:pt idx="2">
                        <c:v>19.059999999999999</c:v>
                      </c:pt>
                      <c:pt idx="3">
                        <c:v>29.37</c:v>
                      </c:pt>
                      <c:pt idx="4">
                        <c:v>38.14</c:v>
                      </c:pt>
                      <c:pt idx="5">
                        <c:v>48.45</c:v>
                      </c:pt>
                      <c:pt idx="6">
                        <c:v>57.94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E4E-4217-BEC3-D468CC1939D5}"/>
                  </c:ext>
                </c:extLst>
              </c15:ser>
            </c15:filteredScatterSeries>
          </c:ext>
        </c:extLst>
      </c:scatterChart>
      <c:valAx>
        <c:axId val="62809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Real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095784"/>
        <c:crosses val="autoZero"/>
        <c:crossBetween val="midCat"/>
      </c:valAx>
      <c:valAx>
        <c:axId val="62809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Média dos 3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099024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9.4575462144978154E-2"/>
          <c:y val="0.14370795580946083"/>
          <c:w val="0.29739949009438305"/>
          <c:h val="0.24942184310294546"/>
        </c:manualLayout>
      </c:layout>
      <c:overlay val="1"/>
      <c:spPr>
        <a:solidFill>
          <a:schemeClr val="bg1"/>
        </a:solidFill>
        <a:ln w="12700">
          <a:solidFill>
            <a:schemeClr val="bg2">
              <a:lumMod val="75000"/>
            </a:schemeClr>
          </a:solidFill>
        </a:ln>
        <a:effectLst>
          <a:softEdge rad="0"/>
        </a:effectLst>
      </c:spPr>
      <c:txPr>
        <a:bodyPr rot="0" spcFirstLastPara="1" vertOverflow="ellipsis" vert="horz" wrap="square" anchor="ctr" anchorCtr="0"/>
        <a:lstStyle/>
        <a:p>
          <a:pPr>
            <a:defRPr sz="8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Desvio Absoluto por Sensor 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Planilha1!$K$2</c:f>
              <c:strCache>
                <c:ptCount val="1"/>
                <c:pt idx="0">
                  <c:v>erro 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Planilha1!$B$2:$B$9</c:f>
              <c:strCache>
                <c:ptCount val="8"/>
                <c:pt idx="0">
                  <c:v>Distância Real (cm)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</c:strCache>
            </c:strRef>
          </c:cat>
          <c:val>
            <c:numRef>
              <c:f>Planilha1!$K$3:$K$9</c:f>
              <c:numCache>
                <c:formatCode>General</c:formatCode>
                <c:ptCount val="7"/>
                <c:pt idx="1">
                  <c:v>-7.0000000000000284E-2</c:v>
                </c:pt>
                <c:pt idx="2">
                  <c:v>1.2899999999999991</c:v>
                </c:pt>
                <c:pt idx="3">
                  <c:v>0.67999999999999972</c:v>
                </c:pt>
                <c:pt idx="4">
                  <c:v>1.75</c:v>
                </c:pt>
                <c:pt idx="5">
                  <c:v>1.7999999999999972</c:v>
                </c:pt>
                <c:pt idx="6">
                  <c:v>2.1300000000000026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1F-4B97-A5A5-95FDB4B9BCC3}"/>
            </c:ext>
          </c:extLst>
        </c:ser>
        <c:ser>
          <c:idx val="1"/>
          <c:order val="1"/>
          <c:tx>
            <c:strRef>
              <c:f>Planilha1!$B$2:$B$9</c:f>
              <c:strCache>
                <c:ptCount val="8"/>
                <c:pt idx="0">
                  <c:v>Distância Real (cm)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Planilha1!$L$2:$L$9</c:f>
              <c:numCache>
                <c:formatCode>General</c:formatCode>
                <c:ptCount val="8"/>
                <c:pt idx="0">
                  <c:v>0</c:v>
                </c:pt>
                <c:pt idx="2">
                  <c:v>-0.10999999999999943</c:v>
                </c:pt>
                <c:pt idx="3">
                  <c:v>0.87999999999999901</c:v>
                </c:pt>
                <c:pt idx="4">
                  <c:v>0.66000000000000014</c:v>
                </c:pt>
                <c:pt idx="5">
                  <c:v>1.3500000000000014</c:v>
                </c:pt>
                <c:pt idx="6">
                  <c:v>1.5900000000000034</c:v>
                </c:pt>
                <c:pt idx="7">
                  <c:v>2.0200000000000031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1F-4B97-A5A5-95FDB4B9BCC3}"/>
            </c:ext>
          </c:extLst>
        </c:ser>
        <c:ser>
          <c:idx val="2"/>
          <c:order val="2"/>
          <c:tx>
            <c:strRef>
              <c:f>Planilha1!$B$2:$B$9</c:f>
              <c:strCache>
                <c:ptCount val="8"/>
                <c:pt idx="0">
                  <c:v>Distância Real (cm)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Planilha1!$M$2:$M$9</c:f>
              <c:numCache>
                <c:formatCode>General</c:formatCode>
                <c:ptCount val="8"/>
                <c:pt idx="0">
                  <c:v>0</c:v>
                </c:pt>
                <c:pt idx="2">
                  <c:v>0.94999999999999929</c:v>
                </c:pt>
                <c:pt idx="3">
                  <c:v>0.66000000000000014</c:v>
                </c:pt>
                <c:pt idx="4">
                  <c:v>0.55999999999999872</c:v>
                </c:pt>
                <c:pt idx="5">
                  <c:v>2.4699999999999989</c:v>
                </c:pt>
                <c:pt idx="6">
                  <c:v>1.2700000000000031</c:v>
                </c:pt>
                <c:pt idx="7">
                  <c:v>2.0300000000000011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F1F-4B97-A5A5-95FDB4B9B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850824"/>
        <c:axId val="759853704"/>
      </c:barChart>
      <c:catAx>
        <c:axId val="759850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Distância Real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853704"/>
        <c:crosses val="autoZero"/>
        <c:auto val="1"/>
        <c:lblAlgn val="ctr"/>
        <c:lblOffset val="100"/>
        <c:noMultiLvlLbl val="0"/>
      </c:catAx>
      <c:valAx>
        <c:axId val="75985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 Absoluto(cm)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985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1172819625690983"/>
          <c:y val="0.14279782275811864"/>
          <c:w val="0.30222979619433921"/>
          <c:h val="0.16812070639031371"/>
        </c:manualLayout>
      </c:layout>
      <c:overlay val="1"/>
      <c:spPr>
        <a:solidFill>
          <a:schemeClr val="bg1"/>
        </a:solidFill>
        <a:ln w="12700">
          <a:solidFill>
            <a:schemeClr val="accent3"/>
          </a:solidFill>
        </a:ln>
        <a:effectLst>
          <a:outerShdw blurRad="50800" dist="50800" dir="5400000" algn="ctr" rotWithShape="0">
            <a:schemeClr val="bg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603006</xdr:colOff>
      <xdr:row>9</xdr:row>
      <xdr:rowOff>188301</xdr:rowOff>
    </xdr:from>
    <xdr:to>
      <xdr:col>8</xdr:col>
      <xdr:colOff>124069</xdr:colOff>
      <xdr:row>30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DF8E54-A67F-262E-3D06-7734708FC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442911</xdr:colOff>
      <xdr:row>10</xdr:row>
      <xdr:rowOff>4762</xdr:rowOff>
    </xdr:from>
    <xdr:to>
      <xdr:col>15</xdr:col>
      <xdr:colOff>523874</xdr:colOff>
      <xdr:row>30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CE32397-5997-3093-BADF-0B06D3996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CD26-9816-4F6B-93C5-0CF5F2D15FC0}">
  <dimension ref="B2:S21"/>
  <sheetViews>
    <sheetView tabSelected="1" zoomScaleNormal="100" workbookViewId="0">
      <selection activeCell="S9" sqref="S9"/>
    </sheetView>
  </sheetViews>
  <sheetFormatPr defaultRowHeight="15" x14ac:dyDescent="0.25"/>
  <cols>
    <col min="2" max="2" width="15.85546875" bestFit="1" customWidth="1"/>
    <col min="3" max="5" width="12" bestFit="1" customWidth="1"/>
    <col min="6" max="6" width="14.5703125" bestFit="1" customWidth="1"/>
    <col min="7" max="7" width="13.7109375" bestFit="1" customWidth="1"/>
    <col min="8" max="8" width="13.42578125" bestFit="1" customWidth="1"/>
    <col min="9" max="9" width="13.85546875" bestFit="1" customWidth="1"/>
    <col min="10" max="11" width="14.5703125" bestFit="1" customWidth="1"/>
    <col min="12" max="12" width="17.42578125" bestFit="1" customWidth="1"/>
    <col min="13" max="13" width="16.140625" bestFit="1" customWidth="1"/>
    <col min="14" max="14" width="7" customWidth="1"/>
    <col min="15" max="15" width="11.7109375" customWidth="1"/>
    <col min="16" max="16" width="10.5703125" customWidth="1"/>
    <col min="17" max="17" width="8.42578125" customWidth="1"/>
    <col min="18" max="18" width="11.5703125" bestFit="1" customWidth="1"/>
  </cols>
  <sheetData>
    <row r="2" spans="2:19" x14ac:dyDescent="0.25">
      <c r="B2" s="11" t="s">
        <v>0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3" t="s">
        <v>1</v>
      </c>
      <c r="I2" s="13" t="s">
        <v>2</v>
      </c>
      <c r="K2" s="10" t="s">
        <v>9</v>
      </c>
      <c r="L2" s="10" t="s">
        <v>10</v>
      </c>
      <c r="M2" s="10" t="s">
        <v>11</v>
      </c>
      <c r="O2" s="17" t="s">
        <v>12</v>
      </c>
      <c r="P2" s="18"/>
      <c r="Q2" s="18"/>
      <c r="R2" s="19"/>
    </row>
    <row r="3" spans="2:19" x14ac:dyDescent="0.25">
      <c r="B3" s="12"/>
      <c r="C3" s="12"/>
      <c r="D3" s="12"/>
      <c r="E3" s="12"/>
      <c r="F3" s="12"/>
      <c r="G3" s="12"/>
      <c r="H3" s="14"/>
      <c r="I3" s="14"/>
      <c r="J3" s="1"/>
      <c r="K3" s="10"/>
      <c r="L3" s="10"/>
      <c r="M3" s="10"/>
      <c r="O3" s="8" t="s">
        <v>13</v>
      </c>
      <c r="P3" s="8" t="s">
        <v>14</v>
      </c>
      <c r="Q3" s="8" t="s">
        <v>15</v>
      </c>
      <c r="R3" s="8" t="s">
        <v>16</v>
      </c>
    </row>
    <row r="4" spans="2:19" x14ac:dyDescent="0.25">
      <c r="B4" s="3">
        <v>10</v>
      </c>
      <c r="C4" s="4">
        <v>10.07</v>
      </c>
      <c r="D4" s="4">
        <v>10.11</v>
      </c>
      <c r="E4" s="4">
        <v>9.0500000000000007</v>
      </c>
      <c r="F4" s="4">
        <v>9.74</v>
      </c>
      <c r="G4" s="5">
        <v>-0.26</v>
      </c>
      <c r="H4" s="4">
        <f>_xlfn.STDEV.P(B4,F4)</f>
        <v>0.12999999999999989</v>
      </c>
      <c r="I4" s="6" t="s">
        <v>3</v>
      </c>
      <c r="K4" s="7">
        <f>B4-C4</f>
        <v>-7.0000000000000284E-2</v>
      </c>
      <c r="L4" s="7">
        <f>B4-D4</f>
        <v>-0.10999999999999943</v>
      </c>
      <c r="M4" s="7">
        <f>+B4-E4</f>
        <v>0.94999999999999929</v>
      </c>
      <c r="O4" s="15">
        <f>ABS(($B4-C4)/$B4)</f>
        <v>7.0000000000000288E-3</v>
      </c>
      <c r="P4" s="15">
        <f>ABS(($B4-D4)/$B4)</f>
        <v>1.0999999999999944E-2</v>
      </c>
      <c r="Q4" s="15">
        <f>ABS(($B4-E4)/$B4)</f>
        <v>9.4999999999999932E-2</v>
      </c>
      <c r="R4" s="15">
        <f>ABS(($B4-F4)/$B4)</f>
        <v>2.5999999999999978E-2</v>
      </c>
      <c r="S4" s="16"/>
    </row>
    <row r="5" spans="2:19" x14ac:dyDescent="0.25">
      <c r="B5" s="3">
        <v>20</v>
      </c>
      <c r="C5" s="4">
        <v>18.71</v>
      </c>
      <c r="D5" s="4">
        <v>19.12</v>
      </c>
      <c r="E5" s="4">
        <v>19.34</v>
      </c>
      <c r="F5" s="4">
        <v>19.059999999999999</v>
      </c>
      <c r="G5" s="5">
        <v>-0.94</v>
      </c>
      <c r="H5" s="4">
        <f t="shared" ref="H5:H9" si="0">_xlfn.STDEV.P(B5,F5)</f>
        <v>0.47000000000000064</v>
      </c>
      <c r="I5" s="6" t="s">
        <v>3</v>
      </c>
      <c r="K5" s="7">
        <f t="shared" ref="K5:K8" si="1">B5-C5</f>
        <v>1.2899999999999991</v>
      </c>
      <c r="L5" s="7">
        <f t="shared" ref="L5:L9" si="2">B5-D5</f>
        <v>0.87999999999999901</v>
      </c>
      <c r="M5" s="7">
        <f t="shared" ref="M5:M9" si="3">+B5-E5</f>
        <v>0.66000000000000014</v>
      </c>
      <c r="O5" s="15">
        <f t="shared" ref="O5:O9" si="4">ABS(($B5-C5)/$B5)</f>
        <v>6.449999999999996E-2</v>
      </c>
      <c r="P5" s="15">
        <f t="shared" ref="P5:P9" si="5">ABS(($B5-D5)/$B5)</f>
        <v>4.3999999999999949E-2</v>
      </c>
      <c r="Q5" s="15">
        <f t="shared" ref="Q5:Q9" si="6">ABS(($B5-E5)/$B5)</f>
        <v>3.3000000000000008E-2</v>
      </c>
      <c r="R5" s="15">
        <f t="shared" ref="R5:R9" si="7">ABS(($B5-F5)/$B5)</f>
        <v>4.7000000000000063E-2</v>
      </c>
      <c r="S5" s="16"/>
    </row>
    <row r="6" spans="2:19" x14ac:dyDescent="0.25">
      <c r="B6" s="3">
        <v>30</v>
      </c>
      <c r="C6" s="4">
        <v>29.32</v>
      </c>
      <c r="D6" s="4">
        <v>29.34</v>
      </c>
      <c r="E6" s="4">
        <v>29.44</v>
      </c>
      <c r="F6" s="4">
        <v>29.37</v>
      </c>
      <c r="G6" s="5">
        <v>-0.63</v>
      </c>
      <c r="H6" s="4">
        <f t="shared" si="0"/>
        <v>0.3149999999999995</v>
      </c>
      <c r="I6" s="6" t="s">
        <v>3</v>
      </c>
      <c r="K6" s="7">
        <f t="shared" si="1"/>
        <v>0.67999999999999972</v>
      </c>
      <c r="L6" s="7">
        <f t="shared" si="2"/>
        <v>0.66000000000000014</v>
      </c>
      <c r="M6" s="7">
        <f t="shared" si="3"/>
        <v>0.55999999999999872</v>
      </c>
      <c r="O6" s="15">
        <f t="shared" si="4"/>
        <v>2.2666666666666658E-2</v>
      </c>
      <c r="P6" s="15">
        <f t="shared" si="5"/>
        <v>2.2000000000000006E-2</v>
      </c>
      <c r="Q6" s="15">
        <f t="shared" si="6"/>
        <v>1.8666666666666623E-2</v>
      </c>
      <c r="R6" s="15">
        <f t="shared" si="7"/>
        <v>2.0999999999999967E-2</v>
      </c>
      <c r="S6" s="16"/>
    </row>
    <row r="7" spans="2:19" x14ac:dyDescent="0.25">
      <c r="B7" s="3">
        <v>40</v>
      </c>
      <c r="C7" s="4">
        <v>38.25</v>
      </c>
      <c r="D7" s="4">
        <v>38.65</v>
      </c>
      <c r="E7" s="4">
        <v>37.53</v>
      </c>
      <c r="F7" s="4">
        <v>38.14</v>
      </c>
      <c r="G7" s="5">
        <v>-1.86</v>
      </c>
      <c r="H7" s="4">
        <f t="shared" si="0"/>
        <v>0.92999999999999972</v>
      </c>
      <c r="I7" s="6" t="s">
        <v>3</v>
      </c>
      <c r="K7" s="7">
        <f t="shared" si="1"/>
        <v>1.75</v>
      </c>
      <c r="L7" s="7">
        <f t="shared" si="2"/>
        <v>1.3500000000000014</v>
      </c>
      <c r="M7" s="7">
        <f t="shared" si="3"/>
        <v>2.4699999999999989</v>
      </c>
      <c r="O7" s="15">
        <f t="shared" si="4"/>
        <v>4.3749999999999997E-2</v>
      </c>
      <c r="P7" s="15">
        <f t="shared" si="5"/>
        <v>3.3750000000000037E-2</v>
      </c>
      <c r="Q7" s="15">
        <f t="shared" si="6"/>
        <v>6.1749999999999972E-2</v>
      </c>
      <c r="R7" s="15">
        <f t="shared" si="7"/>
        <v>4.6499999999999986E-2</v>
      </c>
      <c r="S7" s="16"/>
    </row>
    <row r="8" spans="2:19" x14ac:dyDescent="0.25">
      <c r="B8" s="3">
        <v>50</v>
      </c>
      <c r="C8" s="4">
        <v>48.2</v>
      </c>
      <c r="D8" s="4">
        <v>48.41</v>
      </c>
      <c r="E8" s="4">
        <v>48.73</v>
      </c>
      <c r="F8" s="4">
        <v>48.45</v>
      </c>
      <c r="G8" s="5">
        <v>-1.55</v>
      </c>
      <c r="H8" s="4">
        <f t="shared" si="0"/>
        <v>0.77499999999999858</v>
      </c>
      <c r="I8" s="6" t="s">
        <v>3</v>
      </c>
      <c r="K8" s="7">
        <f t="shared" si="1"/>
        <v>1.7999999999999972</v>
      </c>
      <c r="L8" s="7">
        <f t="shared" si="2"/>
        <v>1.5900000000000034</v>
      </c>
      <c r="M8" s="7">
        <f t="shared" si="3"/>
        <v>1.2700000000000031</v>
      </c>
      <c r="O8" s="15">
        <f t="shared" si="4"/>
        <v>3.5999999999999942E-2</v>
      </c>
      <c r="P8" s="15">
        <f t="shared" si="5"/>
        <v>3.1800000000000071E-2</v>
      </c>
      <c r="Q8" s="15">
        <f t="shared" si="6"/>
        <v>2.5400000000000061E-2</v>
      </c>
      <c r="R8" s="15">
        <f t="shared" si="7"/>
        <v>3.0999999999999944E-2</v>
      </c>
      <c r="S8" s="16"/>
    </row>
    <row r="9" spans="2:19" x14ac:dyDescent="0.25">
      <c r="B9" s="3">
        <v>60</v>
      </c>
      <c r="C9" s="4">
        <v>57.87</v>
      </c>
      <c r="D9" s="4">
        <v>57.98</v>
      </c>
      <c r="E9" s="4">
        <v>57.97</v>
      </c>
      <c r="F9" s="4">
        <v>57.94</v>
      </c>
      <c r="G9" s="5">
        <v>-2.06</v>
      </c>
      <c r="H9" s="4">
        <f t="shared" si="0"/>
        <v>1.0300000000000011</v>
      </c>
      <c r="I9" s="6" t="s">
        <v>3</v>
      </c>
      <c r="K9" s="7">
        <f>B9-C9</f>
        <v>2.1300000000000026</v>
      </c>
      <c r="L9" s="7">
        <f t="shared" si="2"/>
        <v>2.0200000000000031</v>
      </c>
      <c r="M9" s="7">
        <f t="shared" si="3"/>
        <v>2.0300000000000011</v>
      </c>
      <c r="O9" s="15">
        <f t="shared" si="4"/>
        <v>3.5500000000000045E-2</v>
      </c>
      <c r="P9" s="15">
        <f t="shared" si="5"/>
        <v>3.366666666666672E-2</v>
      </c>
      <c r="Q9" s="15">
        <f t="shared" si="6"/>
        <v>3.3833333333333354E-2</v>
      </c>
      <c r="R9" s="15">
        <f t="shared" si="7"/>
        <v>3.4333333333333368E-2</v>
      </c>
      <c r="S9" s="16"/>
    </row>
    <row r="10" spans="2:19" x14ac:dyDescent="0.25">
      <c r="B10" s="1"/>
      <c r="C10" s="1"/>
      <c r="D10" s="1"/>
    </row>
    <row r="11" spans="2:19" x14ac:dyDescent="0.25">
      <c r="B11" s="1"/>
      <c r="C11" s="1"/>
      <c r="D11" s="1"/>
      <c r="R11" s="9"/>
    </row>
    <row r="18" spans="8:12" x14ac:dyDescent="0.25">
      <c r="L18" s="9"/>
    </row>
    <row r="21" spans="8:12" x14ac:dyDescent="0.25">
      <c r="H21" s="1"/>
      <c r="I21" s="2"/>
    </row>
  </sheetData>
  <mergeCells count="12">
    <mergeCell ref="O2:R2"/>
    <mergeCell ref="M2:M3"/>
    <mergeCell ref="B2:B3"/>
    <mergeCell ref="H2:H3"/>
    <mergeCell ref="I2:I3"/>
    <mergeCell ref="K2:K3"/>
    <mergeCell ref="L2:L3"/>
    <mergeCell ref="C2:C3"/>
    <mergeCell ref="D2:D3"/>
    <mergeCell ref="E2:E3"/>
    <mergeCell ref="F2:F3"/>
    <mergeCell ref="G2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A3EC2AA-BCA1-4839-A0D8-EE49217C6BF7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Planilha1!B2:B2</xm:f>
              <xm:sqref>F2</xm:sqref>
            </x14:sparkline>
            <x14:sparkline>
              <xm:f>Planilha1!B3:B3</xm:f>
              <xm:sqref>F3</xm:sqref>
            </x14:sparkline>
            <x14:sparkline>
              <xm:f>Planilha1!B4:B4</xm:f>
              <xm:sqref>F4</xm:sqref>
            </x14:sparkline>
            <x14:sparkline>
              <xm:f>Planilha1!B5:B5</xm:f>
              <xm:sqref>F5</xm:sqref>
            </x14:sparkline>
            <x14:sparkline>
              <xm:f>Planilha1!B6:B6</xm:f>
              <xm:sqref>F6</xm:sqref>
            </x14:sparkline>
            <x14:sparkline>
              <xm:f>Planilha1!B7:B7</xm:f>
              <xm:sqref>F7</xm:sqref>
            </x14:sparkline>
            <x14:sparkline>
              <xm:f>Planilha1!B8:B8</xm:f>
              <xm:sqref>F8</xm:sqref>
            </x14:sparkline>
            <x14:sparkline>
              <xm:f>Planilha1!B9:B9</xm:f>
              <xm:sqref>F9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Rodrigues</dc:creator>
  <cp:lastModifiedBy>Daniel Rodrigues</cp:lastModifiedBy>
  <dcterms:created xsi:type="dcterms:W3CDTF">2026-10-25T02:55:54Z</dcterms:created>
  <dcterms:modified xsi:type="dcterms:W3CDTF">2026-10-25T07:39:49Z</dcterms:modified>
</cp:coreProperties>
</file>